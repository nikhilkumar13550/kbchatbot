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bookViews>
    <workbookView xWindow="0" yWindow="0" windowWidth="16380" windowHeight="8196" tabRatio="500"/>
  </bookViews>
  <sheets>
    <sheet name="Implementation Plan" sheetId="1" r:id="rId1"/>
    <sheet name="Summary" sheetId="2" r:id="rId2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2" l="1"/>
  <c r="D11" i="2"/>
  <c r="C11" i="2"/>
  <c r="B11" i="2"/>
  <c r="G38" i="1"/>
  <c r="F38" i="1"/>
  <c r="E38" i="1"/>
  <c r="H36" i="1"/>
  <c r="H35" i="1"/>
  <c r="H34" i="1"/>
  <c r="H33" i="1"/>
  <c r="H32" i="1"/>
  <c r="H31" i="1"/>
  <c r="H29" i="1"/>
  <c r="H28" i="1"/>
  <c r="H27" i="1"/>
  <c r="H26" i="1"/>
  <c r="H25" i="1"/>
  <c r="H24" i="1"/>
  <c r="H21" i="1"/>
  <c r="H19" i="1"/>
  <c r="H18" i="1"/>
  <c r="H17" i="1"/>
  <c r="H15" i="1"/>
  <c r="H14" i="1"/>
  <c r="H13" i="1"/>
  <c r="H12" i="1"/>
  <c r="H10" i="1"/>
  <c r="H9" i="1"/>
  <c r="H7" i="1"/>
  <c r="H6" i="1"/>
  <c r="H4" i="1"/>
  <c r="H38" i="1" l="1"/>
</calcChain>
</file>

<file path=xl/sharedStrings.xml><?xml version="1.0" encoding="utf-8"?>
<sst xmlns="http://schemas.openxmlformats.org/spreadsheetml/2006/main" count="94" uniqueCount="51">
  <si>
    <t>Automation Implementation Plan</t>
  </si>
  <si>
    <t>Tools: Excel VBA / Python Scripts  ·  Free, no licence required  ·  9 Worktypes  ·  28 Solutions</t>
  </si>
  <si>
    <t>#</t>
  </si>
  <si>
    <t>Worktype</t>
  </si>
  <si>
    <t>Solution</t>
  </si>
  <si>
    <t>Tool</t>
  </si>
  <si>
    <t>Dev
(Days)</t>
  </si>
  <si>
    <t>Test
(Days)</t>
  </si>
  <si>
    <t>UAT
(Days)</t>
  </si>
  <si>
    <t>Total
(Days)</t>
  </si>
  <si>
    <t>Pre-Renewals — Ad Hoc</t>
  </si>
  <si>
    <t>Log incoming ad hoc requests</t>
  </si>
  <si>
    <t>Excel VBA / Python</t>
  </si>
  <si>
    <t>Captive Payment</t>
  </si>
  <si>
    <t>Log and track payment requisitions</t>
  </si>
  <si>
    <t>Generate draft approval email content</t>
  </si>
  <si>
    <t>Captive Receipt</t>
  </si>
  <si>
    <t>Log incoming receipts</t>
  </si>
  <si>
    <t>Generate draft notification email content</t>
  </si>
  <si>
    <t>OAR Payment</t>
  </si>
  <si>
    <t>Apply business rules to OAR Excel sheet</t>
  </si>
  <si>
    <t>Apply post-confirmation business rules (FX calc)</t>
  </si>
  <si>
    <t>Fill OAR Matrix</t>
  </si>
  <si>
    <t>Track OAR payment status</t>
  </si>
  <si>
    <t>OAR Receipt</t>
  </si>
  <si>
    <t>Track OAR receipt status</t>
  </si>
  <si>
    <t>Dividend Payments (USD / Direct Wire)</t>
  </si>
  <si>
    <t>Validate Confirmation Number format before PRISM entry</t>
  </si>
  <si>
    <t>Excel VBA / Python — Reuse</t>
  </si>
  <si>
    <t>—</t>
  </si>
  <si>
    <t>Captive Template Preparation</t>
  </si>
  <si>
    <t>Read Matrix and determine template type</t>
  </si>
  <si>
    <t>Copy files from previous quarter</t>
  </si>
  <si>
    <t>Python Script</t>
  </si>
  <si>
    <t>Rename files per quarter naming convention</t>
  </si>
  <si>
    <t>Unprotect all workbooks</t>
  </si>
  <si>
    <t>Apply business rules across all templates</t>
  </si>
  <si>
    <t>Update Matrix with completion status</t>
  </si>
  <si>
    <t>GGA Template Preparation</t>
  </si>
  <si>
    <t>Python Script — Reuse</t>
  </si>
  <si>
    <t>TOTAL</t>
  </si>
  <si>
    <t>Summary — Time Estimates by Worktype</t>
  </si>
  <si>
    <t>Solutions</t>
  </si>
  <si>
    <t>Dev (Days)</t>
  </si>
  <si>
    <t>Test (Days)</t>
  </si>
  <si>
    <t>Total (Days)</t>
  </si>
  <si>
    <t>Notes</t>
  </si>
  <si>
    <t>1 development day = 8 working hours</t>
  </si>
  <si>
    <t>Test days = internal testing by the development team</t>
  </si>
  <si>
    <t>UAT days = testing with the business team</t>
  </si>
  <si>
    <t>Reuse = solution reused from another worktype — 0 development days, testing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</si>
</sst>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8"/>
      <color rgb="FF595959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  <font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4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3" borderId="0" xfId="0" applyFill="1" applyAlignment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zoomScaleNormal="100" workbookViewId="0">
      <selection activeCell="B26" sqref="B26"/>
    </sheetView>
  </sheetViews>
  <sheetFormatPr defaultColWidth="8.6640625" defaultRowHeight="14.4" x14ac:dyDescent="0.3"/>
  <cols>
    <col min="1" max="1" width="4" style="6" customWidth="1"/>
    <col min="2" max="2" width="30" style="6" customWidth="1"/>
    <col min="3" max="3" width="38" style="6" customWidth="1"/>
    <col min="4" max="4" width="24" style="6" customWidth="1"/>
    <col min="5" max="8" width="10" style="6" customWidth="1"/>
  </cols>
  <sheetData>
    <row r="1" spans="1:8" ht="31.5" customHeight="1" x14ac:dyDescent="0.3">
      <c r="A1" s="5" t="s">
        <v>0</v>
      </c>
      <c r="B1" s="5"/>
      <c r="C1" s="5"/>
      <c r="D1" s="5"/>
      <c r="E1" s="5"/>
      <c r="F1" s="5"/>
      <c r="G1" s="5"/>
      <c r="H1" s="5"/>
    </row>
    <row r="2" spans="1:8" ht="18" customHeight="1" x14ac:dyDescent="0.3">
      <c r="A2" s="4" t="s">
        <v>1</v>
      </c>
      <c r="B2" s="4"/>
      <c r="C2" s="4"/>
      <c r="D2" s="4"/>
      <c r="E2" s="4"/>
      <c r="F2" s="4"/>
      <c r="G2" s="4"/>
      <c r="H2" s="4"/>
    </row>
    <row r="3" spans="1:8" ht="30" customHeight="1" x14ac:dyDescent="0.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</row>
    <row r="4" spans="1:8" ht="36" customHeight="1" x14ac:dyDescent="0.3">
      <c r="A4" s="8">
        <v>1</v>
      </c>
      <c r="B4" s="9" t="s">
        <v>10</v>
      </c>
      <c r="C4" s="10" t="s">
        <v>11</v>
      </c>
      <c r="D4" s="11" t="s">
        <v>12</v>
      </c>
      <c r="E4" s="12">
        <v>2</v>
      </c>
      <c r="F4" s="12">
        <v>1</v>
      </c>
      <c r="G4" s="12">
        <v>1</v>
      </c>
      <c r="H4" s="8">
        <f>E4+F4+G4</f>
        <v>4</v>
      </c>
    </row>
    <row r="5" spans="1:8" ht="3.75" customHeight="1" x14ac:dyDescent="0.3">
      <c r="A5" s="13"/>
      <c r="B5" s="13"/>
      <c r="C5" s="13"/>
      <c r="D5" s="13"/>
      <c r="E5" s="13"/>
      <c r="F5" s="13"/>
      <c r="G5" s="13"/>
      <c r="H5" s="13"/>
    </row>
    <row r="6" spans="1:8" ht="36" customHeight="1" x14ac:dyDescent="0.3">
      <c r="A6" s="14">
        <v>2</v>
      </c>
      <c r="B6" s="15" t="s">
        <v>13</v>
      </c>
      <c r="C6" s="16" t="s">
        <v>14</v>
      </c>
      <c r="D6" s="17" t="s">
        <v>12</v>
      </c>
      <c r="E6" s="18">
        <v>3</v>
      </c>
      <c r="F6" s="18">
        <v>1</v>
      </c>
      <c r="G6" s="18">
        <v>1</v>
      </c>
      <c r="H6" s="14">
        <f>E6+F6+G6</f>
        <v>5</v>
      </c>
    </row>
    <row r="7" spans="1:8" ht="36" customHeight="1" x14ac:dyDescent="0.3">
      <c r="A7" s="8">
        <v>3</v>
      </c>
      <c r="B7" s="9"/>
      <c r="C7" s="10" t="s">
        <v>15</v>
      </c>
      <c r="D7" s="11" t="s">
        <v>12</v>
      </c>
      <c r="E7" s="12">
        <v>2</v>
      </c>
      <c r="F7" s="12">
        <v>1</v>
      </c>
      <c r="G7" s="12">
        <v>1</v>
      </c>
      <c r="H7" s="8">
        <f>E7+F7+G7</f>
        <v>4</v>
      </c>
    </row>
    <row r="8" spans="1:8" ht="3.75" customHeight="1" x14ac:dyDescent="0.3">
      <c r="A8" s="13"/>
      <c r="B8" s="13"/>
      <c r="C8" s="13"/>
      <c r="D8" s="13"/>
      <c r="E8" s="13"/>
      <c r="F8" s="13"/>
      <c r="G8" s="13"/>
      <c r="H8" s="13"/>
    </row>
    <row r="9" spans="1:8" ht="36" customHeight="1" x14ac:dyDescent="0.3">
      <c r="A9" s="14">
        <v>4</v>
      </c>
      <c r="B9" s="15" t="s">
        <v>16</v>
      </c>
      <c r="C9" s="16" t="s">
        <v>17</v>
      </c>
      <c r="D9" s="17" t="s">
        <v>12</v>
      </c>
      <c r="E9" s="18">
        <v>2</v>
      </c>
      <c r="F9" s="18">
        <v>1</v>
      </c>
      <c r="G9" s="18">
        <v>1</v>
      </c>
      <c r="H9" s="14">
        <f>E9+F9+G9</f>
        <v>4</v>
      </c>
    </row>
    <row r="10" spans="1:8" ht="36" customHeight="1" x14ac:dyDescent="0.3">
      <c r="A10" s="8">
        <v>5</v>
      </c>
      <c r="B10" s="9"/>
      <c r="C10" s="10" t="s">
        <v>18</v>
      </c>
      <c r="D10" s="11" t="s">
        <v>12</v>
      </c>
      <c r="E10" s="12">
        <v>1</v>
      </c>
      <c r="F10" s="12">
        <v>1</v>
      </c>
      <c r="G10" s="12">
        <v>0.5</v>
      </c>
      <c r="H10" s="8">
        <f>E10+F10+G10</f>
        <v>2.5</v>
      </c>
    </row>
    <row r="11" spans="1:8" ht="3.75" customHeight="1" x14ac:dyDescent="0.3">
      <c r="A11" s="13"/>
      <c r="B11" s="13"/>
      <c r="C11" s="13"/>
      <c r="D11" s="13"/>
      <c r="E11" s="13"/>
      <c r="F11" s="13"/>
      <c r="G11" s="13"/>
      <c r="H11" s="13"/>
    </row>
    <row r="12" spans="1:8" ht="36" customHeight="1" x14ac:dyDescent="0.3">
      <c r="A12" s="14">
        <v>6</v>
      </c>
      <c r="B12" s="15" t="s">
        <v>19</v>
      </c>
      <c r="C12" s="16" t="s">
        <v>20</v>
      </c>
      <c r="D12" s="17" t="s">
        <v>12</v>
      </c>
      <c r="E12" s="18">
        <v>4</v>
      </c>
      <c r="F12" s="18">
        <v>2</v>
      </c>
      <c r="G12" s="18">
        <v>2</v>
      </c>
      <c r="H12" s="14">
        <f>E12+F12+G12</f>
        <v>8</v>
      </c>
    </row>
    <row r="13" spans="1:8" ht="36" customHeight="1" x14ac:dyDescent="0.3">
      <c r="A13" s="8">
        <v>7</v>
      </c>
      <c r="B13" s="9"/>
      <c r="C13" s="10" t="s">
        <v>21</v>
      </c>
      <c r="D13" s="11" t="s">
        <v>12</v>
      </c>
      <c r="E13" s="12">
        <v>3</v>
      </c>
      <c r="F13" s="12">
        <v>2</v>
      </c>
      <c r="G13" s="12">
        <v>2</v>
      </c>
      <c r="H13" s="8">
        <f>E13+F13+G13</f>
        <v>7</v>
      </c>
    </row>
    <row r="14" spans="1:8" ht="36" customHeight="1" x14ac:dyDescent="0.3">
      <c r="A14" s="14">
        <v>8</v>
      </c>
      <c r="B14" s="15"/>
      <c r="C14" s="16" t="s">
        <v>22</v>
      </c>
      <c r="D14" s="17" t="s">
        <v>12</v>
      </c>
      <c r="E14" s="18">
        <v>2</v>
      </c>
      <c r="F14" s="18">
        <v>1</v>
      </c>
      <c r="G14" s="18">
        <v>1</v>
      </c>
      <c r="H14" s="14">
        <f>E14+F14+G14</f>
        <v>4</v>
      </c>
    </row>
    <row r="15" spans="1:8" ht="36" customHeight="1" x14ac:dyDescent="0.3">
      <c r="A15" s="8">
        <v>9</v>
      </c>
      <c r="B15" s="9"/>
      <c r="C15" s="10" t="s">
        <v>23</v>
      </c>
      <c r="D15" s="11" t="s">
        <v>12</v>
      </c>
      <c r="E15" s="12">
        <v>2</v>
      </c>
      <c r="F15" s="12">
        <v>1</v>
      </c>
      <c r="G15" s="12">
        <v>1</v>
      </c>
      <c r="H15" s="8">
        <f>E15+F15+G15</f>
        <v>4</v>
      </c>
    </row>
    <row r="16" spans="1:8" ht="3.75" customHeight="1" x14ac:dyDescent="0.3">
      <c r="A16" s="13"/>
      <c r="B16" s="13"/>
      <c r="C16" s="13"/>
      <c r="D16" s="13"/>
      <c r="E16" s="13"/>
      <c r="F16" s="13"/>
      <c r="G16" s="13"/>
      <c r="H16" s="13"/>
    </row>
    <row r="17" spans="1:8" ht="36" customHeight="1" x14ac:dyDescent="0.3">
      <c r="A17" s="14">
        <v>10</v>
      </c>
      <c r="B17" s="15" t="s">
        <v>24</v>
      </c>
      <c r="C17" s="16" t="s">
        <v>20</v>
      </c>
      <c r="D17" s="17" t="s">
        <v>12</v>
      </c>
      <c r="E17" s="18">
        <v>1</v>
      </c>
      <c r="F17" s="18">
        <v>1</v>
      </c>
      <c r="G17" s="18">
        <v>1</v>
      </c>
      <c r="H17" s="14">
        <f>E17+F17+G17</f>
        <v>3</v>
      </c>
    </row>
    <row r="18" spans="1:8" ht="36" customHeight="1" x14ac:dyDescent="0.3">
      <c r="A18" s="8">
        <v>11</v>
      </c>
      <c r="B18" s="9"/>
      <c r="C18" s="10" t="s">
        <v>22</v>
      </c>
      <c r="D18" s="11" t="s">
        <v>12</v>
      </c>
      <c r="E18" s="12">
        <v>1</v>
      </c>
      <c r="F18" s="12">
        <v>0.5</v>
      </c>
      <c r="G18" s="12">
        <v>0.5</v>
      </c>
      <c r="H18" s="8">
        <f>E18+F18+G18</f>
        <v>2</v>
      </c>
    </row>
    <row r="19" spans="1:8" ht="36" customHeight="1" x14ac:dyDescent="0.3">
      <c r="A19" s="14">
        <v>12</v>
      </c>
      <c r="B19" s="15"/>
      <c r="C19" s="16" t="s">
        <v>25</v>
      </c>
      <c r="D19" s="17" t="s">
        <v>12</v>
      </c>
      <c r="E19" s="18">
        <v>1</v>
      </c>
      <c r="F19" s="18">
        <v>0.5</v>
      </c>
      <c r="G19" s="18">
        <v>0.5</v>
      </c>
      <c r="H19" s="14">
        <f>E19+F19+G19</f>
        <v>2</v>
      </c>
    </row>
    <row r="20" spans="1:8" ht="3.75" customHeight="1" x14ac:dyDescent="0.3">
      <c r="A20" s="13"/>
      <c r="B20" s="13"/>
      <c r="C20" s="13"/>
      <c r="D20" s="13"/>
      <c r="E20" s="13"/>
      <c r="F20" s="13"/>
      <c r="G20" s="13"/>
      <c r="H20" s="13"/>
    </row>
    <row r="21" spans="1:8" ht="36" customHeight="1" x14ac:dyDescent="0.3">
      <c r="A21" s="14">
        <v>14</v>
      </c>
      <c r="B21" s="9" t="s">
        <v>26</v>
      </c>
      <c r="C21" s="16" t="s">
        <v>27</v>
      </c>
      <c r="D21" s="17" t="s">
        <v>12</v>
      </c>
      <c r="E21" s="18">
        <v>1</v>
      </c>
      <c r="F21" s="18">
        <v>1</v>
      </c>
      <c r="G21" s="18">
        <v>0.5</v>
      </c>
      <c r="H21" s="14">
        <f>E21+F21+G21</f>
        <v>2.5</v>
      </c>
    </row>
    <row r="22" spans="1:8" ht="3.75" customHeight="1" x14ac:dyDescent="0.3">
      <c r="A22" s="13"/>
      <c r="B22" s="13"/>
      <c r="C22" s="13"/>
      <c r="D22" s="13"/>
      <c r="E22" s="13"/>
      <c r="F22" s="13"/>
      <c r="G22" s="13"/>
      <c r="H22" s="13"/>
    </row>
    <row r="23" spans="1:8" ht="3.75" customHeight="1" x14ac:dyDescent="0.3">
      <c r="A23" s="13"/>
      <c r="B23" s="13"/>
      <c r="C23" s="13"/>
      <c r="D23" s="13"/>
      <c r="E23" s="13"/>
      <c r="F23" s="13"/>
      <c r="G23" s="13"/>
      <c r="H23" s="13"/>
    </row>
    <row r="24" spans="1:8" ht="36" customHeight="1" x14ac:dyDescent="0.3">
      <c r="A24" s="8">
        <v>17</v>
      </c>
      <c r="B24" s="9" t="s">
        <v>30</v>
      </c>
      <c r="C24" s="10" t="s">
        <v>31</v>
      </c>
      <c r="D24" s="11" t="s">
        <v>12</v>
      </c>
      <c r="E24" s="12">
        <v>2</v>
      </c>
      <c r="F24" s="12">
        <v>1</v>
      </c>
      <c r="G24" s="12">
        <v>1</v>
      </c>
      <c r="H24" s="8">
        <f t="shared" ref="H24:H29" si="0">E24+F24+G24</f>
        <v>4</v>
      </c>
    </row>
    <row r="25" spans="1:8" ht="36" customHeight="1" x14ac:dyDescent="0.3">
      <c r="A25" s="14">
        <v>18</v>
      </c>
      <c r="B25" s="15"/>
      <c r="C25" s="16" t="s">
        <v>32</v>
      </c>
      <c r="D25" s="17" t="s">
        <v>33</v>
      </c>
      <c r="E25" s="18">
        <v>1</v>
      </c>
      <c r="F25" s="18">
        <v>1</v>
      </c>
      <c r="G25" s="18">
        <v>1</v>
      </c>
      <c r="H25" s="14">
        <f t="shared" si="0"/>
        <v>3</v>
      </c>
    </row>
    <row r="26" spans="1:8" ht="36" customHeight="1" x14ac:dyDescent="0.3">
      <c r="A26" s="8">
        <v>19</v>
      </c>
      <c r="B26" s="9"/>
      <c r="C26" s="10" t="s">
        <v>34</v>
      </c>
      <c r="D26" s="11" t="s">
        <v>33</v>
      </c>
      <c r="E26" s="12">
        <v>1</v>
      </c>
      <c r="F26" s="12">
        <v>1</v>
      </c>
      <c r="G26" s="12">
        <v>0.5</v>
      </c>
      <c r="H26" s="8">
        <f t="shared" si="0"/>
        <v>2.5</v>
      </c>
    </row>
    <row r="27" spans="1:8" ht="36" customHeight="1" x14ac:dyDescent="0.3">
      <c r="A27" s="14">
        <v>20</v>
      </c>
      <c r="B27" s="15"/>
      <c r="C27" s="16" t="s">
        <v>35</v>
      </c>
      <c r="D27" s="17" t="s">
        <v>12</v>
      </c>
      <c r="E27" s="18">
        <v>1</v>
      </c>
      <c r="F27" s="18">
        <v>1</v>
      </c>
      <c r="G27" s="18">
        <v>0.5</v>
      </c>
      <c r="H27" s="14">
        <f t="shared" si="0"/>
        <v>2.5</v>
      </c>
    </row>
    <row r="28" spans="1:8" ht="36" customHeight="1" x14ac:dyDescent="0.3">
      <c r="A28" s="8">
        <v>21</v>
      </c>
      <c r="B28" s="9"/>
      <c r="C28" s="10" t="s">
        <v>36</v>
      </c>
      <c r="D28" s="11" t="s">
        <v>12</v>
      </c>
      <c r="E28" s="12">
        <v>4</v>
      </c>
      <c r="F28" s="12">
        <v>2</v>
      </c>
      <c r="G28" s="12">
        <v>2</v>
      </c>
      <c r="H28" s="8">
        <f t="shared" si="0"/>
        <v>8</v>
      </c>
    </row>
    <row r="29" spans="1:8" ht="36" customHeight="1" x14ac:dyDescent="0.3">
      <c r="A29" s="14">
        <v>22</v>
      </c>
      <c r="B29" s="15"/>
      <c r="C29" s="16" t="s">
        <v>37</v>
      </c>
      <c r="D29" s="17" t="s">
        <v>12</v>
      </c>
      <c r="E29" s="18">
        <v>1</v>
      </c>
      <c r="F29" s="18">
        <v>0.5</v>
      </c>
      <c r="G29" s="18">
        <v>0.5</v>
      </c>
      <c r="H29" s="14">
        <f t="shared" si="0"/>
        <v>2</v>
      </c>
    </row>
    <row r="30" spans="1:8" ht="3.75" customHeight="1" x14ac:dyDescent="0.3">
      <c r="A30" s="13"/>
      <c r="B30" s="13"/>
      <c r="C30" s="13"/>
      <c r="D30" s="13"/>
      <c r="E30" s="13"/>
      <c r="F30" s="13"/>
      <c r="G30" s="13"/>
      <c r="H30" s="13"/>
    </row>
    <row r="31" spans="1:8" ht="36" customHeight="1" x14ac:dyDescent="0.3">
      <c r="A31" s="8">
        <v>23</v>
      </c>
      <c r="B31" s="9" t="s">
        <v>38</v>
      </c>
      <c r="C31" s="10" t="s">
        <v>31</v>
      </c>
      <c r="D31" s="21" t="s">
        <v>28</v>
      </c>
      <c r="E31" s="22" t="s">
        <v>29</v>
      </c>
      <c r="F31" s="12">
        <v>0.5</v>
      </c>
      <c r="G31" s="12">
        <v>0.5</v>
      </c>
      <c r="H31" s="8">
        <f>F31+G31</f>
        <v>1</v>
      </c>
    </row>
    <row r="32" spans="1:8" ht="36" customHeight="1" x14ac:dyDescent="0.3">
      <c r="A32" s="14">
        <v>24</v>
      </c>
      <c r="B32" s="15"/>
      <c r="C32" s="16" t="s">
        <v>32</v>
      </c>
      <c r="D32" s="19" t="s">
        <v>39</v>
      </c>
      <c r="E32" s="20" t="s">
        <v>29</v>
      </c>
      <c r="F32" s="18">
        <v>0.5</v>
      </c>
      <c r="G32" s="18">
        <v>0.5</v>
      </c>
      <c r="H32" s="14">
        <f>F32+G32</f>
        <v>1</v>
      </c>
    </row>
    <row r="33" spans="1:8" ht="36" customHeight="1" x14ac:dyDescent="0.3">
      <c r="A33" s="8">
        <v>25</v>
      </c>
      <c r="B33" s="9"/>
      <c r="C33" s="10" t="s">
        <v>34</v>
      </c>
      <c r="D33" s="21" t="s">
        <v>39</v>
      </c>
      <c r="E33" s="22" t="s">
        <v>29</v>
      </c>
      <c r="F33" s="12">
        <v>0.5</v>
      </c>
      <c r="G33" s="12">
        <v>0.5</v>
      </c>
      <c r="H33" s="8">
        <f>F33+G33</f>
        <v>1</v>
      </c>
    </row>
    <row r="34" spans="1:8" ht="36" customHeight="1" x14ac:dyDescent="0.3">
      <c r="A34" s="14">
        <v>26</v>
      </c>
      <c r="B34" s="15"/>
      <c r="C34" s="16" t="s">
        <v>35</v>
      </c>
      <c r="D34" s="19" t="s">
        <v>28</v>
      </c>
      <c r="E34" s="20" t="s">
        <v>29</v>
      </c>
      <c r="F34" s="18">
        <v>0.5</v>
      </c>
      <c r="G34" s="18">
        <v>0.5</v>
      </c>
      <c r="H34" s="14">
        <f>F34+G34</f>
        <v>1</v>
      </c>
    </row>
    <row r="35" spans="1:8" ht="36" customHeight="1" x14ac:dyDescent="0.3">
      <c r="A35" s="8">
        <v>27</v>
      </c>
      <c r="B35" s="9"/>
      <c r="C35" s="10" t="s">
        <v>36</v>
      </c>
      <c r="D35" s="11" t="s">
        <v>12</v>
      </c>
      <c r="E35" s="12">
        <v>3</v>
      </c>
      <c r="F35" s="12">
        <v>2</v>
      </c>
      <c r="G35" s="12">
        <v>2</v>
      </c>
      <c r="H35" s="8">
        <f>E35+F35+G35</f>
        <v>7</v>
      </c>
    </row>
    <row r="36" spans="1:8" ht="36" customHeight="1" x14ac:dyDescent="0.3">
      <c r="A36" s="14">
        <v>28</v>
      </c>
      <c r="B36" s="15"/>
      <c r="C36" s="16" t="s">
        <v>37</v>
      </c>
      <c r="D36" s="19" t="s">
        <v>28</v>
      </c>
      <c r="E36" s="20" t="s">
        <v>29</v>
      </c>
      <c r="F36" s="18">
        <v>0.5</v>
      </c>
      <c r="G36" s="18">
        <v>0.5</v>
      </c>
      <c r="H36" s="14">
        <f>F36+G36</f>
        <v>1</v>
      </c>
    </row>
    <row r="37" spans="1:8" ht="3.75" customHeight="1" x14ac:dyDescent="0.3">
      <c r="A37" s="13"/>
      <c r="B37" s="13"/>
      <c r="C37" s="13"/>
      <c r="D37" s="13"/>
      <c r="E37" s="13"/>
      <c r="F37" s="13"/>
      <c r="G37" s="13"/>
      <c r="H37" s="13"/>
    </row>
    <row r="38" spans="1:8" ht="25.5" customHeight="1" x14ac:dyDescent="0.3">
      <c r="A38" s="3" t="s">
        <v>40</v>
      </c>
      <c r="B38" s="3"/>
      <c r="C38" s="3"/>
      <c r="D38" s="3"/>
      <c r="E38" s="23">
        <f>SUM(E4:E37)</f>
        <v>38</v>
      </c>
      <c r="F38" s="23">
        <f>SUM(F4:F37)</f>
        <v>25</v>
      </c>
      <c r="G38" s="23">
        <f>SUM(G4:G37)</f>
        <v>23</v>
      </c>
      <c r="H38" s="24">
        <f>SUM(H4:H37)</f>
        <v>86</v>
      </c>
    </row>
  </sheetData>
  <mergeCells count="3">
    <mergeCell ref="A1:H1"/>
    <mergeCell ref="A2:H2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zoomScaleNormal="100" workbookViewId="0">
      <selection activeCell="G10" sqref="G10"/>
    </sheetView>
  </sheetViews>
  <sheetFormatPr defaultColWidth="8.6640625" defaultRowHeight="14.4" x14ac:dyDescent="0.3"/>
  <cols>
    <col min="1" max="1" width="38" style="6" customWidth="1"/>
    <col min="2" max="5" width="14" style="6" customWidth="1"/>
  </cols>
  <sheetData>
    <row r="1" spans="1:5" ht="31.5" customHeight="1" x14ac:dyDescent="0.3">
      <c r="A1" s="5" t="s">
        <v>41</v>
      </c>
      <c r="B1" s="5"/>
      <c r="C1" s="5"/>
      <c r="D1" s="5"/>
      <c r="E1" s="5"/>
    </row>
    <row r="2" spans="1:5" ht="27.75" customHeight="1" x14ac:dyDescent="0.3">
      <c r="A2" s="7" t="s">
        <v>3</v>
      </c>
      <c r="B2" s="7" t="s">
        <v>42</v>
      </c>
      <c r="C2" s="7" t="s">
        <v>43</v>
      </c>
      <c r="D2" s="7" t="s">
        <v>44</v>
      </c>
      <c r="E2" s="7" t="s">
        <v>45</v>
      </c>
    </row>
    <row r="3" spans="1:5" ht="21.75" customHeight="1" x14ac:dyDescent="0.3">
      <c r="A3" s="25" t="s">
        <v>10</v>
      </c>
      <c r="B3" s="12">
        <v>1</v>
      </c>
      <c r="C3" s="12">
        <v>2</v>
      </c>
      <c r="D3" s="12">
        <v>1</v>
      </c>
      <c r="E3" s="8">
        <v>4</v>
      </c>
    </row>
    <row r="4" spans="1:5" ht="21.75" customHeight="1" x14ac:dyDescent="0.3">
      <c r="A4" s="26" t="s">
        <v>13</v>
      </c>
      <c r="B4" s="18">
        <v>2</v>
      </c>
      <c r="C4" s="18">
        <v>5</v>
      </c>
      <c r="D4" s="18">
        <v>2</v>
      </c>
      <c r="E4" s="14">
        <v>9</v>
      </c>
    </row>
    <row r="5" spans="1:5" ht="21.75" customHeight="1" x14ac:dyDescent="0.3">
      <c r="A5" s="25" t="s">
        <v>16</v>
      </c>
      <c r="B5" s="12">
        <v>2</v>
      </c>
      <c r="C5" s="12">
        <v>3</v>
      </c>
      <c r="D5" s="12">
        <v>2</v>
      </c>
      <c r="E5" s="8">
        <v>6.5</v>
      </c>
    </row>
    <row r="6" spans="1:5" ht="21.75" customHeight="1" x14ac:dyDescent="0.3">
      <c r="A6" s="26" t="s">
        <v>19</v>
      </c>
      <c r="B6" s="18">
        <v>4</v>
      </c>
      <c r="C6" s="18">
        <v>11</v>
      </c>
      <c r="D6" s="18">
        <v>6</v>
      </c>
      <c r="E6" s="14">
        <v>23</v>
      </c>
    </row>
    <row r="7" spans="1:5" ht="21.75" customHeight="1" x14ac:dyDescent="0.3">
      <c r="A7" s="25" t="s">
        <v>24</v>
      </c>
      <c r="B7" s="12">
        <v>3</v>
      </c>
      <c r="C7" s="12">
        <v>3</v>
      </c>
      <c r="D7" s="12">
        <v>2</v>
      </c>
      <c r="E7" s="8">
        <v>7</v>
      </c>
    </row>
    <row r="8" spans="1:5" ht="21.75" customHeight="1" x14ac:dyDescent="0.3">
      <c r="A8" s="26" t="s">
        <v>26</v>
      </c>
      <c r="B8" s="18">
        <v>2</v>
      </c>
      <c r="C8" s="18">
        <v>4</v>
      </c>
      <c r="D8" s="18">
        <v>2</v>
      </c>
      <c r="E8" s="14">
        <v>2.5</v>
      </c>
    </row>
    <row r="9" spans="1:5" ht="21.75" customHeight="1" x14ac:dyDescent="0.3">
      <c r="A9" s="26" t="s">
        <v>30</v>
      </c>
      <c r="B9" s="18">
        <v>6</v>
      </c>
      <c r="C9" s="18">
        <v>10</v>
      </c>
      <c r="D9" s="18">
        <v>6.5</v>
      </c>
      <c r="E9" s="14">
        <v>22</v>
      </c>
    </row>
    <row r="10" spans="1:5" ht="21.75" customHeight="1" x14ac:dyDescent="0.3">
      <c r="A10" s="25" t="s">
        <v>38</v>
      </c>
      <c r="B10" s="12">
        <v>6</v>
      </c>
      <c r="C10" s="12">
        <v>3</v>
      </c>
      <c r="D10" s="12">
        <v>4.5</v>
      </c>
      <c r="E10" s="8">
        <v>12</v>
      </c>
    </row>
    <row r="11" spans="1:5" ht="25.5" customHeight="1" x14ac:dyDescent="0.3">
      <c r="A11" s="23" t="s">
        <v>40</v>
      </c>
      <c r="B11" s="23">
        <f>SUM(B3:B10)</f>
        <v>26</v>
      </c>
      <c r="C11" s="23">
        <f>SUM(C3:C10)</f>
        <v>41</v>
      </c>
      <c r="D11" s="23">
        <f>SUM(D3:D10)</f>
        <v>26</v>
      </c>
      <c r="E11" s="23">
        <f>SUM(E3:E10)</f>
        <v>86</v>
      </c>
    </row>
    <row r="13" spans="1:5" ht="21.75" customHeight="1" x14ac:dyDescent="0.3">
      <c r="A13" s="2" t="s">
        <v>46</v>
      </c>
      <c r="B13" s="2"/>
      <c r="C13" s="2"/>
      <c r="D13" s="2"/>
      <c r="E13" s="2"/>
    </row>
    <row r="14" spans="1:5" ht="18" customHeight="1" x14ac:dyDescent="0.3">
      <c r="A14" s="1" t="s">
        <v>47</v>
      </c>
      <c r="B14" s="1"/>
      <c r="C14" s="1"/>
      <c r="D14" s="1"/>
      <c r="E14" s="1"/>
    </row>
    <row r="15" spans="1:5" ht="18" customHeight="1" x14ac:dyDescent="0.3">
      <c r="A15" s="1" t="s">
        <v>48</v>
      </c>
      <c r="B15" s="1"/>
      <c r="C15" s="1"/>
      <c r="D15" s="1"/>
      <c r="E15" s="1"/>
    </row>
    <row r="16" spans="1:5" ht="18" customHeight="1" x14ac:dyDescent="0.3">
      <c r="A16" s="1" t="s">
        <v>49</v>
      </c>
      <c r="B16" s="1"/>
      <c r="C16" s="1"/>
      <c r="D16" s="1"/>
      <c r="E16" s="1"/>
    </row>
    <row r="17" spans="1:5" ht="18" customHeight="1" x14ac:dyDescent="0.3">
      <c r="A17" s="1" t="s">
        <v>50</v>
      </c>
      <c r="B17" s="1"/>
      <c r="C17" s="1"/>
      <c r="D17" s="1"/>
      <c r="E17" s="1"/>
    </row>
  </sheetData>
  <mergeCells count="6">
    <mergeCell ref="A17:E17"/>
    <mergeCell ref="A1:E1"/>
    <mergeCell ref="A13:E13"/>
    <mergeCell ref="A14:E14"/>
    <mergeCell ref="A15:E15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Implementation Plan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my pc</cp:lastModifiedBy>
  <cp:revision>0</cp:revision>
  <dcterms:created xsi:type="dcterms:W3CDTF">2026-08-13T11:26:28Z</dcterms:created>
  <dcterms:modified xsi:type="dcterms:W3CDTF">2026-08-13T11:49:42Z</dcterms:modified>
  <dc:language>en-US</dc:language>
</cp:coreProperties>
</file>